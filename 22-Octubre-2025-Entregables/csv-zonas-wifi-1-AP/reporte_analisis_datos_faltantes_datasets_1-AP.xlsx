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_analisis_datos_origin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<sst xmlns="http://schemas.openxmlformats.org/spreadsheetml/2006/main" count="200" uniqueCount="91">
  <si>
    <t xml:space="preserve">zona</t>
  </si>
  <si>
    <t xml:space="preserve">total_filas</t>
  </si>
  <si>
    <t xml:space="preserve">columnas</t>
  </si>
  <si>
    <t xml:space="preserve">fechas_disponibles</t>
  </si>
  <si>
    <t xml:space="preserve">rango_fechas</t>
  </si>
  <si>
    <t xml:space="preserve">dias_faltantes</t>
  </si>
  <si>
    <t xml:space="preserve">dia_semana_nan</t>
  </si>
  <si>
    <t xml:space="preserve">dia_semana_valores_unicos</t>
  </si>
  <si>
    <t xml:space="preserve">trafico_cero</t>
  </si>
  <si>
    <t xml:space="preserve">num_caidas_trafico</t>
  </si>
  <si>
    <t xml:space="preserve">Porentaje</t>
  </si>
  <si>
    <t xml:space="preserve">001_ZW Parque Ingenio</t>
  </si>
  <si>
    <t xml:space="preserve">['FECHA.CONEXION', 'AREA', 'NOMBRE.ZONA', 'COMUNA', 'MODEL', 'NUMERO.CONEXIONES', 'USAGE.KB', 'PORCENTAJE.USO', 'es_festivo', 'tipo_dia', 'dia_semana', 'LATITUD', 'LONGITUD']</t>
  </si>
  <si>
    <t xml:space="preserve">2024-01-01 00:00:00 a 2025-03-31 00:00:00</t>
  </si>
  <si>
    <t xml:space="preserve">002_ZW Canchas Panamericanas</t>
  </si>
  <si>
    <t xml:space="preserve">003_ZW Parque del Perro</t>
  </si>
  <si>
    <t xml:space="preserve">004_ZW Parque San Nicolas</t>
  </si>
  <si>
    <t xml:space="preserve">2024-01-17 00:00:00 a 2025-03-31 00:00:00</t>
  </si>
  <si>
    <t xml:space="preserve">005_ZW Parque Barrio Obrero</t>
  </si>
  <si>
    <t xml:space="preserve">006_ZW Parque Vallado</t>
  </si>
  <si>
    <t xml:space="preserve">2024-01-01 00:00:00 a 2025-03-28 00:00:00</t>
  </si>
  <si>
    <t xml:space="preserve">007_ZW Parque Pizamos</t>
  </si>
  <si>
    <t xml:space="preserve">2024-12-19 00:00:00 a 2025-03-31 00:00:00</t>
  </si>
  <si>
    <t xml:space="preserve">008_ZW Parque Alfonso Lopez</t>
  </si>
  <si>
    <t xml:space="preserve">009_ZW Polideportivo Los Almendros</t>
  </si>
  <si>
    <t xml:space="preserve">2024-11-29 00:00:00 a 2025-02-19 00:00:00</t>
  </si>
  <si>
    <t xml:space="preserve">010_ZW Parque Antonio Nariño</t>
  </si>
  <si>
    <t xml:space="preserve">011_ZW Parque Santa Rosa Poblado</t>
  </si>
  <si>
    <t xml:space="preserve">2024-01-01 00:00:00 a 2025-01-14 00:00:00</t>
  </si>
  <si>
    <t xml:space="preserve">012_ZW Polideportivo Los Naranjos</t>
  </si>
  <si>
    <t xml:space="preserve">013_ZW Parque Llano Verde</t>
  </si>
  <si>
    <t xml:space="preserve">014_ZW Centro Cultural Alto Jordan</t>
  </si>
  <si>
    <t xml:space="preserve">2024-01-01 00:00:00 a 2025-02-10 00:00:00</t>
  </si>
  <si>
    <t xml:space="preserve">015_ZW Centro Cultural Comuna 13</t>
  </si>
  <si>
    <t xml:space="preserve">016_ZW Conjunto Habitacional Ramali</t>
  </si>
  <si>
    <t xml:space="preserve">017_ZW Conjunto Habitacional Rio Cauca</t>
  </si>
  <si>
    <t xml:space="preserve">2024-01-01 00:00:00 a 2025-03-29 00:00:00</t>
  </si>
  <si>
    <t xml:space="preserve">018_ZW Parque Las Banderas</t>
  </si>
  <si>
    <t xml:space="preserve">2024-01-01 00:00:00 a 2025-01-13 00:00:00</t>
  </si>
  <si>
    <t xml:space="preserve">019_ZW Parque Skate Board</t>
  </si>
  <si>
    <t xml:space="preserve">2024-01-01 00:00:00 a 2025-03-20 00:00:00</t>
  </si>
  <si>
    <t xml:space="preserve">020_ZW Parque Petecuy1</t>
  </si>
  <si>
    <t xml:space="preserve">021_ZW Parque Alfonso Barberena</t>
  </si>
  <si>
    <t xml:space="preserve">022_ZW Polideportivo Los Farallones</t>
  </si>
  <si>
    <t xml:space="preserve">023_ZW Parque Los Guerreros</t>
  </si>
  <si>
    <t xml:space="preserve">024_ZW Museo La Tertulia</t>
  </si>
  <si>
    <t xml:space="preserve">025_ZW Parque San Marino</t>
  </si>
  <si>
    <t xml:space="preserve">026_ZW Parque La Flora</t>
  </si>
  <si>
    <t xml:space="preserve">027_ZW Parque Alfonso Bonilla Aragón</t>
  </si>
  <si>
    <t xml:space="preserve">028_ZW Parque Yo Amo a Siloe</t>
  </si>
  <si>
    <t xml:space="preserve">029_ZW Centro Cultural Vista Hermosa</t>
  </si>
  <si>
    <t xml:space="preserve">030_ZW Parque Mutis</t>
  </si>
  <si>
    <t xml:space="preserve">031_ZW Cancha Los Azules</t>
  </si>
  <si>
    <t xml:space="preserve">032_ZW Paque La Orqueta</t>
  </si>
  <si>
    <t xml:space="preserve">033_ZW Plaza Alameda</t>
  </si>
  <si>
    <t xml:space="preserve">2024-01-01 00:00:00 a 2025-01-12 00:00:00</t>
  </si>
  <si>
    <t xml:space="preserve">034_ZW Parque Villa Colombia</t>
  </si>
  <si>
    <t xml:space="preserve">035_ZW Parque Colseguros</t>
  </si>
  <si>
    <t xml:space="preserve">036_ZW Parque India Elena</t>
  </si>
  <si>
    <t xml:space="preserve">037_ZW Parque Tequendama</t>
  </si>
  <si>
    <t xml:space="preserve">038_ZW Parque Sector Amarillo Skate Park</t>
  </si>
  <si>
    <t xml:space="preserve">039_ZW Biblioteca Daniel Guillard</t>
  </si>
  <si>
    <t xml:space="preserve">040_ZW Polideportivo Torres Comfandi</t>
  </si>
  <si>
    <t xml:space="preserve">2024-01-01 00:00:00 a 2025-02-13 00:00:00</t>
  </si>
  <si>
    <t xml:space="preserve">041_ZW Parque Junin</t>
  </si>
  <si>
    <t xml:space="preserve">042_ZW Parque Mariano Ramos</t>
  </si>
  <si>
    <t xml:space="preserve">043_ZW Polideportivo Ricardo Balcazar</t>
  </si>
  <si>
    <t xml:space="preserve">044_ZW Polideportivo San Benito</t>
  </si>
  <si>
    <t xml:space="preserve">045_ZW Parque Santa Anita</t>
  </si>
  <si>
    <t xml:space="preserve">2024-01-09 00:00:00 a 2025-03-31 00:00:00</t>
  </si>
  <si>
    <t xml:space="preserve">046_ZW Sebastian Belalcazar</t>
  </si>
  <si>
    <t xml:space="preserve">047_ZW Parque del Mico</t>
  </si>
  <si>
    <t xml:space="preserve">048_ZW Parque Cien Palos</t>
  </si>
  <si>
    <t xml:space="preserve">049_ZW Cerro 3 Cruces</t>
  </si>
  <si>
    <t xml:space="preserve">2024-02-11 00:00:00 a 2025-03-31 00:00:00</t>
  </si>
  <si>
    <t xml:space="preserve">050_ZW Parque Calima</t>
  </si>
  <si>
    <t xml:space="preserve">051_ZW Parque La Merced</t>
  </si>
  <si>
    <t xml:space="preserve">052_ZW Puente de Colores</t>
  </si>
  <si>
    <t xml:space="preserve">053_ZW Polideportivo Laureano Gomez</t>
  </si>
  <si>
    <t xml:space="preserve">054_ZW El Diamante</t>
  </si>
  <si>
    <t xml:space="preserve">055_ZW Polideportivo Petecuy</t>
  </si>
  <si>
    <t xml:space="preserve">2024-01-01 00:00:00 a 2025-02-22 00:00:00</t>
  </si>
  <si>
    <t xml:space="preserve">056_ZW Comuna 16</t>
  </si>
  <si>
    <t xml:space="preserve">057_ZW La Castilla</t>
  </si>
  <si>
    <t xml:space="preserve">058_ZW La Elvira</t>
  </si>
  <si>
    <t xml:space="preserve">2024-12-02 00:00:00 a 2025-03-31 00:00:00</t>
  </si>
  <si>
    <t xml:space="preserve">059_ZW El Saladito</t>
  </si>
  <si>
    <t xml:space="preserve">060_ZW Felidia</t>
  </si>
  <si>
    <t xml:space="preserve">061_ZW La Leonera</t>
  </si>
  <si>
    <t xml:space="preserve">062_ZW Pichinde</t>
  </si>
  <si>
    <t xml:space="preserve">063_ZW Los Andes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</si>
</sst>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true" showOutlineSymbols="true" defaultGridColor="true" view="normal" topLeftCell="A20" colorId="64" zoomScale="90" zoomScaleNormal="90" zoomScalePageLayoutView="100" workbookViewId="0">
      <selection pane="topLeft" activeCell="A30" activeCellId="0" sqref="A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7.04"/>
    <col collapsed="false" customWidth="true" hidden="false" outlineLevel="0" max="2" min="2" style="0" width="9.36"/>
    <col collapsed="false" customWidth="true" hidden="false" outlineLevel="0" max="3" min="3" style="0" width="160.18"/>
    <col collapsed="false" customWidth="true" hidden="false" outlineLevel="0" max="4" min="4" style="0" width="17.01"/>
    <col collapsed="false" customWidth="true" hidden="false" outlineLevel="0" max="5" min="5" style="0" width="36.5"/>
    <col collapsed="false" customWidth="true" hidden="false" outlineLevel="0" max="6" min="6" style="0" width="12.84"/>
    <col collapsed="false" customWidth="true" hidden="false" outlineLevel="0" max="7" min="7" style="0" width="15.2"/>
    <col collapsed="false" customWidth="true" hidden="false" outlineLevel="0" max="8" min="8" style="0" width="24.39"/>
    <col collapsed="false" customWidth="true" hidden="false" outlineLevel="0" max="9" min="9" style="0" width="11.03"/>
    <col collapsed="false" customWidth="true" hidden="false" outlineLevel="0" max="10" min="10" style="0" width="17.29"/>
    <col collapsed="false" customWidth="true" hidden="false" outlineLevel="0" max="11" min="11" style="0" width="23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n">
        <v>397</v>
      </c>
      <c r="C2" s="0" t="s">
        <v>12</v>
      </c>
      <c r="D2" s="0" t="n">
        <v>397</v>
      </c>
      <c r="E2" s="0" t="s">
        <v>13</v>
      </c>
      <c r="F2" s="0" t="n">
        <v>59</v>
      </c>
      <c r="G2" s="0" t="n">
        <v>0</v>
      </c>
      <c r="I2" s="0" t="n">
        <v>0</v>
      </c>
      <c r="J2" s="0" t="n">
        <v>5</v>
      </c>
      <c r="K2" s="0" t="n">
        <f aca="false">(F2/B2)*100</f>
        <v>14.8614609571788</v>
      </c>
    </row>
    <row r="3" customFormat="false" ht="12.8" hidden="false" customHeight="false" outlineLevel="0" collapsed="false">
      <c r="A3" s="0" t="s">
        <v>14</v>
      </c>
      <c r="B3" s="0" t="n">
        <v>386</v>
      </c>
      <c r="C3" s="0" t="s">
        <v>12</v>
      </c>
      <c r="D3" s="0" t="n">
        <v>386</v>
      </c>
      <c r="E3" s="0" t="s">
        <v>13</v>
      </c>
      <c r="F3" s="0" t="n">
        <v>70</v>
      </c>
      <c r="G3" s="0" t="n">
        <v>0</v>
      </c>
      <c r="I3" s="0" t="n">
        <v>0</v>
      </c>
      <c r="J3" s="0" t="n">
        <v>5</v>
      </c>
      <c r="K3" s="0" t="n">
        <f aca="false">(F3/B3)*100</f>
        <v>18.1347150259067</v>
      </c>
    </row>
    <row r="4" customFormat="false" ht="12.8" hidden="false" customHeight="false" outlineLevel="0" collapsed="false">
      <c r="A4" s="0" t="s">
        <v>15</v>
      </c>
      <c r="B4" s="0" t="n">
        <v>378</v>
      </c>
      <c r="C4" s="0" t="s">
        <v>12</v>
      </c>
      <c r="D4" s="0" t="n">
        <v>378</v>
      </c>
      <c r="E4" s="0" t="s">
        <v>13</v>
      </c>
      <c r="F4" s="0" t="n">
        <v>78</v>
      </c>
      <c r="G4" s="0" t="n">
        <v>0</v>
      </c>
      <c r="I4" s="0" t="n">
        <v>0</v>
      </c>
      <c r="J4" s="0" t="n">
        <v>5</v>
      </c>
      <c r="K4" s="0" t="n">
        <f aca="false">(F4/B4)*100</f>
        <v>20.6349206349206</v>
      </c>
    </row>
    <row r="5" customFormat="false" ht="12.8" hidden="false" customHeight="false" outlineLevel="0" collapsed="false">
      <c r="A5" s="1" t="s">
        <v>16</v>
      </c>
      <c r="B5" s="1" t="n">
        <v>301</v>
      </c>
      <c r="C5" s="1" t="s">
        <v>12</v>
      </c>
      <c r="D5" s="1" t="n">
        <v>301</v>
      </c>
      <c r="E5" s="1" t="s">
        <v>17</v>
      </c>
      <c r="F5" s="1" t="n">
        <v>139</v>
      </c>
      <c r="G5" s="1" t="n">
        <v>0</v>
      </c>
      <c r="H5" s="1"/>
      <c r="I5" s="1" t="n">
        <v>0</v>
      </c>
      <c r="J5" s="1" t="n">
        <v>5</v>
      </c>
      <c r="K5" s="1" t="n">
        <f aca="false">(F5/B5)*100</f>
        <v>46.1794019933555</v>
      </c>
    </row>
    <row r="6" customFormat="false" ht="12.8" hidden="false" customHeight="false" outlineLevel="0" collapsed="false">
      <c r="A6" s="0" t="s">
        <v>18</v>
      </c>
      <c r="B6" s="0" t="n">
        <v>378</v>
      </c>
      <c r="C6" s="0" t="s">
        <v>12</v>
      </c>
      <c r="D6" s="0" t="n">
        <v>378</v>
      </c>
      <c r="E6" s="0" t="s">
        <v>13</v>
      </c>
      <c r="F6" s="0" t="n">
        <v>78</v>
      </c>
      <c r="G6" s="0" t="n">
        <v>0</v>
      </c>
      <c r="I6" s="0" t="n">
        <v>0</v>
      </c>
      <c r="J6" s="0" t="n">
        <v>5</v>
      </c>
      <c r="K6" s="0" t="n">
        <f aca="false">(F6/B6)*100</f>
        <v>20.6349206349206</v>
      </c>
    </row>
    <row r="7" customFormat="false" ht="12.8" hidden="false" customHeight="false" outlineLevel="0" collapsed="false">
      <c r="A7" s="0" t="s">
        <v>19</v>
      </c>
      <c r="B7" s="0" t="n">
        <v>337</v>
      </c>
      <c r="C7" s="0" t="s">
        <v>12</v>
      </c>
      <c r="D7" s="0" t="n">
        <v>337</v>
      </c>
      <c r="E7" s="0" t="s">
        <v>20</v>
      </c>
      <c r="F7" s="0" t="n">
        <v>116</v>
      </c>
      <c r="G7" s="0" t="n">
        <v>0</v>
      </c>
      <c r="I7" s="0" t="n">
        <v>0</v>
      </c>
      <c r="J7" s="0" t="n">
        <v>5</v>
      </c>
      <c r="K7" s="0" t="n">
        <f aca="false">(F7/B7)*100</f>
        <v>34.4213649851632</v>
      </c>
    </row>
    <row r="8" customFormat="false" ht="12.8" hidden="false" customHeight="false" outlineLevel="0" collapsed="false">
      <c r="A8" s="0" t="s">
        <v>21</v>
      </c>
      <c r="B8" s="0" t="n">
        <v>102</v>
      </c>
      <c r="C8" s="0" t="s">
        <v>12</v>
      </c>
      <c r="D8" s="0" t="n">
        <v>102</v>
      </c>
      <c r="E8" s="0" t="s">
        <v>22</v>
      </c>
      <c r="F8" s="0" t="n">
        <v>1</v>
      </c>
      <c r="G8" s="0" t="n">
        <v>0</v>
      </c>
      <c r="I8" s="0" t="n">
        <v>0</v>
      </c>
      <c r="J8" s="0" t="n">
        <v>5</v>
      </c>
      <c r="K8" s="0" t="n">
        <f aca="false">(F8/B8)*100</f>
        <v>0.980392156862745</v>
      </c>
    </row>
    <row r="9" customFormat="false" ht="12.8" hidden="false" customHeight="false" outlineLevel="0" collapsed="false">
      <c r="A9" s="0" t="s">
        <v>23</v>
      </c>
      <c r="B9" s="0" t="n">
        <v>406</v>
      </c>
      <c r="C9" s="0" t="s">
        <v>12</v>
      </c>
      <c r="D9" s="0" t="n">
        <v>406</v>
      </c>
      <c r="E9" s="0" t="s">
        <v>13</v>
      </c>
      <c r="F9" s="0" t="n">
        <v>50</v>
      </c>
      <c r="G9" s="0" t="n">
        <v>0</v>
      </c>
      <c r="I9" s="0" t="n">
        <v>0</v>
      </c>
      <c r="J9" s="0" t="n">
        <v>5</v>
      </c>
      <c r="K9" s="0" t="n">
        <f aca="false">(F9/B9)*100</f>
        <v>12.3152709359606</v>
      </c>
    </row>
    <row r="10" customFormat="false" ht="12.8" hidden="false" customHeight="false" outlineLevel="0" collapsed="false">
      <c r="A10" s="0" t="s">
        <v>24</v>
      </c>
      <c r="B10" s="0" t="n">
        <v>83</v>
      </c>
      <c r="C10" s="0" t="s">
        <v>12</v>
      </c>
      <c r="D10" s="0" t="n">
        <v>83</v>
      </c>
      <c r="E10" s="0" t="s">
        <v>25</v>
      </c>
      <c r="F10" s="0" t="n">
        <v>0</v>
      </c>
      <c r="G10" s="0" t="n">
        <v>0</v>
      </c>
      <c r="I10" s="0" t="n">
        <v>0</v>
      </c>
      <c r="J10" s="0" t="n">
        <v>5</v>
      </c>
      <c r="K10" s="0" t="n">
        <f aca="false">(F10/B10)*100</f>
        <v>0</v>
      </c>
    </row>
    <row r="11" customFormat="false" ht="12.8" hidden="false" customHeight="false" outlineLevel="0" collapsed="false">
      <c r="A11" s="0" t="s">
        <v>26</v>
      </c>
      <c r="B11" s="0" t="n">
        <v>372</v>
      </c>
      <c r="C11" s="0" t="s">
        <v>12</v>
      </c>
      <c r="D11" s="0" t="n">
        <v>372</v>
      </c>
      <c r="E11" s="0" t="s">
        <v>13</v>
      </c>
      <c r="F11" s="0" t="n">
        <v>84</v>
      </c>
      <c r="G11" s="0" t="n">
        <v>0</v>
      </c>
      <c r="I11" s="0" t="n">
        <v>0</v>
      </c>
      <c r="J11" s="0" t="n">
        <v>5</v>
      </c>
      <c r="K11" s="0" t="n">
        <f aca="false">(F11/B11)*100</f>
        <v>22.5806451612903</v>
      </c>
    </row>
    <row r="12" customFormat="false" ht="12.8" hidden="false" customHeight="false" outlineLevel="0" collapsed="false">
      <c r="A12" s="0" t="s">
        <v>27</v>
      </c>
      <c r="B12" s="0" t="n">
        <v>315</v>
      </c>
      <c r="C12" s="0" t="s">
        <v>12</v>
      </c>
      <c r="D12" s="0" t="n">
        <v>315</v>
      </c>
      <c r="E12" s="0" t="s">
        <v>28</v>
      </c>
      <c r="F12" s="0" t="n">
        <v>65</v>
      </c>
      <c r="G12" s="0" t="n">
        <v>0</v>
      </c>
      <c r="I12" s="0" t="n">
        <v>0</v>
      </c>
      <c r="J12" s="0" t="n">
        <v>5</v>
      </c>
      <c r="K12" s="0" t="n">
        <f aca="false">(F12/B12)*100</f>
        <v>20.6349206349206</v>
      </c>
    </row>
    <row r="13" customFormat="false" ht="12.8" hidden="false" customHeight="false" outlineLevel="0" collapsed="false">
      <c r="A13" s="0" t="s">
        <v>29</v>
      </c>
      <c r="B13" s="0" t="n">
        <v>394</v>
      </c>
      <c r="C13" s="0" t="s">
        <v>12</v>
      </c>
      <c r="D13" s="0" t="n">
        <v>394</v>
      </c>
      <c r="E13" s="0" t="s">
        <v>13</v>
      </c>
      <c r="F13" s="0" t="n">
        <v>62</v>
      </c>
      <c r="G13" s="0" t="n">
        <v>0</v>
      </c>
      <c r="I13" s="0" t="n">
        <v>0</v>
      </c>
      <c r="J13" s="0" t="n">
        <v>5</v>
      </c>
      <c r="K13" s="0" t="n">
        <f aca="false">(F13/B13)*100</f>
        <v>15.7360406091371</v>
      </c>
    </row>
    <row r="14" customFormat="false" ht="12.8" hidden="false" customHeight="false" outlineLevel="0" collapsed="false">
      <c r="A14" s="0" t="s">
        <v>30</v>
      </c>
      <c r="B14" s="0" t="n">
        <v>358</v>
      </c>
      <c r="C14" s="0" t="s">
        <v>12</v>
      </c>
      <c r="D14" s="0" t="n">
        <v>358</v>
      </c>
      <c r="E14" s="0" t="s">
        <v>13</v>
      </c>
      <c r="F14" s="0" t="n">
        <v>98</v>
      </c>
      <c r="G14" s="0" t="n">
        <v>0</v>
      </c>
      <c r="I14" s="0" t="n">
        <v>0</v>
      </c>
      <c r="J14" s="0" t="n">
        <v>5</v>
      </c>
      <c r="K14" s="0" t="n">
        <f aca="false">(F14/B14)*100</f>
        <v>27.3743016759777</v>
      </c>
    </row>
    <row r="15" customFormat="false" ht="12.8" hidden="false" customHeight="false" outlineLevel="0" collapsed="false">
      <c r="A15" s="0" t="s">
        <v>31</v>
      </c>
      <c r="B15" s="0" t="n">
        <v>305</v>
      </c>
      <c r="C15" s="0" t="s">
        <v>12</v>
      </c>
      <c r="D15" s="0" t="n">
        <v>305</v>
      </c>
      <c r="E15" s="0" t="s">
        <v>32</v>
      </c>
      <c r="F15" s="0" t="n">
        <v>102</v>
      </c>
      <c r="G15" s="0" t="n">
        <v>0</v>
      </c>
      <c r="I15" s="0" t="n">
        <v>0</v>
      </c>
      <c r="J15" s="0" t="n">
        <v>5</v>
      </c>
      <c r="K15" s="0" t="n">
        <f aca="false">(F15/B15)*100</f>
        <v>33.4426229508197</v>
      </c>
    </row>
    <row r="16" customFormat="false" ht="12.8" hidden="false" customHeight="false" outlineLevel="0" collapsed="false">
      <c r="A16" s="0" t="s">
        <v>33</v>
      </c>
      <c r="B16" s="0" t="n">
        <v>340</v>
      </c>
      <c r="C16" s="0" t="s">
        <v>12</v>
      </c>
      <c r="D16" s="0" t="n">
        <v>340</v>
      </c>
      <c r="E16" s="0" t="s">
        <v>13</v>
      </c>
      <c r="F16" s="0" t="n">
        <v>116</v>
      </c>
      <c r="G16" s="0" t="n">
        <v>0</v>
      </c>
      <c r="I16" s="0" t="n">
        <v>0</v>
      </c>
      <c r="J16" s="0" t="n">
        <v>5</v>
      </c>
      <c r="K16" s="0" t="n">
        <f aca="false">(F16/B16)*100</f>
        <v>34.1176470588235</v>
      </c>
    </row>
    <row r="17" customFormat="false" ht="12.8" hidden="false" customHeight="false" outlineLevel="0" collapsed="false">
      <c r="A17" s="0" t="s">
        <v>34</v>
      </c>
      <c r="B17" s="0" t="n">
        <v>374</v>
      </c>
      <c r="C17" s="0" t="s">
        <v>12</v>
      </c>
      <c r="D17" s="0" t="n">
        <v>374</v>
      </c>
      <c r="E17" s="0" t="s">
        <v>13</v>
      </c>
      <c r="F17" s="0" t="n">
        <v>82</v>
      </c>
      <c r="G17" s="0" t="n">
        <v>0</v>
      </c>
      <c r="I17" s="0" t="n">
        <v>0</v>
      </c>
      <c r="J17" s="0" t="n">
        <v>5</v>
      </c>
      <c r="K17" s="0" t="n">
        <f aca="false">(F17/B17)*100</f>
        <v>21.9251336898396</v>
      </c>
    </row>
    <row r="18" customFormat="false" ht="12.8" hidden="false" customHeight="false" outlineLevel="0" collapsed="false">
      <c r="A18" s="0" t="s">
        <v>35</v>
      </c>
      <c r="B18" s="0" t="n">
        <v>363</v>
      </c>
      <c r="C18" s="0" t="s">
        <v>12</v>
      </c>
      <c r="D18" s="0" t="n">
        <v>363</v>
      </c>
      <c r="E18" s="0" t="s">
        <v>36</v>
      </c>
      <c r="F18" s="0" t="n">
        <v>91</v>
      </c>
      <c r="G18" s="0" t="n">
        <v>0</v>
      </c>
      <c r="I18" s="0" t="n">
        <v>0</v>
      </c>
      <c r="J18" s="0" t="n">
        <v>5</v>
      </c>
      <c r="K18" s="0" t="n">
        <f aca="false">(F18/B18)*100</f>
        <v>25.068870523416</v>
      </c>
    </row>
    <row r="19" customFormat="false" ht="12.8" hidden="false" customHeight="false" outlineLevel="0" collapsed="false">
      <c r="A19" s="0" t="s">
        <v>37</v>
      </c>
      <c r="B19" s="0" t="n">
        <v>329</v>
      </c>
      <c r="C19" s="0" t="s">
        <v>12</v>
      </c>
      <c r="D19" s="0" t="n">
        <v>329</v>
      </c>
      <c r="E19" s="0" t="s">
        <v>38</v>
      </c>
      <c r="F19" s="0" t="n">
        <v>50</v>
      </c>
      <c r="G19" s="0" t="n">
        <v>0</v>
      </c>
      <c r="I19" s="0" t="n">
        <v>0</v>
      </c>
      <c r="J19" s="0" t="n">
        <v>5</v>
      </c>
      <c r="K19" s="0" t="n">
        <f aca="false">(F19/B19)*100</f>
        <v>15.1975683890578</v>
      </c>
    </row>
    <row r="20" customFormat="false" ht="12.8" hidden="false" customHeight="false" outlineLevel="0" collapsed="false">
      <c r="A20" s="0" t="s">
        <v>39</v>
      </c>
      <c r="B20" s="0" t="n">
        <v>354</v>
      </c>
      <c r="C20" s="0" t="s">
        <v>12</v>
      </c>
      <c r="D20" s="0" t="n">
        <v>354</v>
      </c>
      <c r="E20" s="0" t="s">
        <v>40</v>
      </c>
      <c r="F20" s="0" t="n">
        <v>91</v>
      </c>
      <c r="G20" s="0" t="n">
        <v>0</v>
      </c>
      <c r="I20" s="0" t="n">
        <v>0</v>
      </c>
      <c r="J20" s="0" t="n">
        <v>5</v>
      </c>
      <c r="K20" s="0" t="n">
        <f aca="false">(F20/B20)*100</f>
        <v>25.7062146892655</v>
      </c>
    </row>
    <row r="21" customFormat="false" ht="12.8" hidden="false" customHeight="false" outlineLevel="0" collapsed="false">
      <c r="A21" s="0" t="s">
        <v>41</v>
      </c>
      <c r="B21" s="0" t="n">
        <v>340</v>
      </c>
      <c r="C21" s="0" t="s">
        <v>12</v>
      </c>
      <c r="D21" s="0" t="n">
        <v>340</v>
      </c>
      <c r="E21" s="0" t="s">
        <v>13</v>
      </c>
      <c r="F21" s="0" t="n">
        <v>116</v>
      </c>
      <c r="G21" s="0" t="n">
        <v>0</v>
      </c>
      <c r="I21" s="0" t="n">
        <v>0</v>
      </c>
      <c r="J21" s="0" t="n">
        <v>5</v>
      </c>
      <c r="K21" s="0" t="n">
        <f aca="false">(F21/B21)*100</f>
        <v>34.1176470588235</v>
      </c>
    </row>
    <row r="22" customFormat="false" ht="12.8" hidden="false" customHeight="false" outlineLevel="0" collapsed="false">
      <c r="A22" s="0" t="s">
        <v>42</v>
      </c>
      <c r="B22" s="0" t="n">
        <v>399</v>
      </c>
      <c r="C22" s="0" t="s">
        <v>12</v>
      </c>
      <c r="D22" s="0" t="n">
        <v>399</v>
      </c>
      <c r="E22" s="0" t="s">
        <v>13</v>
      </c>
      <c r="F22" s="0" t="n">
        <v>57</v>
      </c>
      <c r="G22" s="0" t="n">
        <v>0</v>
      </c>
      <c r="I22" s="0" t="n">
        <v>0</v>
      </c>
      <c r="J22" s="0" t="n">
        <v>5</v>
      </c>
      <c r="K22" s="0" t="n">
        <f aca="false">(F22/B22)*100</f>
        <v>14.2857142857143</v>
      </c>
    </row>
    <row r="23" customFormat="false" ht="12.8" hidden="false" customHeight="false" outlineLevel="0" collapsed="false">
      <c r="A23" s="0" t="s">
        <v>43</v>
      </c>
      <c r="B23" s="0" t="n">
        <v>397</v>
      </c>
      <c r="C23" s="0" t="s">
        <v>12</v>
      </c>
      <c r="D23" s="0" t="n">
        <v>397</v>
      </c>
      <c r="E23" s="0" t="s">
        <v>13</v>
      </c>
      <c r="F23" s="0" t="n">
        <v>59</v>
      </c>
      <c r="G23" s="0" t="n">
        <v>0</v>
      </c>
      <c r="I23" s="0" t="n">
        <v>0</v>
      </c>
      <c r="J23" s="0" t="n">
        <v>5</v>
      </c>
      <c r="K23" s="0" t="n">
        <f aca="false">(F23/B23)*100</f>
        <v>14.8614609571788</v>
      </c>
    </row>
    <row r="24" customFormat="false" ht="12.8" hidden="false" customHeight="false" outlineLevel="0" collapsed="false">
      <c r="A24" s="0" t="s">
        <v>44</v>
      </c>
      <c r="B24" s="0" t="n">
        <v>400</v>
      </c>
      <c r="C24" s="0" t="s">
        <v>12</v>
      </c>
      <c r="D24" s="0" t="n">
        <v>400</v>
      </c>
      <c r="E24" s="0" t="s">
        <v>13</v>
      </c>
      <c r="F24" s="0" t="n">
        <v>56</v>
      </c>
      <c r="G24" s="0" t="n">
        <v>0</v>
      </c>
      <c r="I24" s="0" t="n">
        <v>0</v>
      </c>
      <c r="J24" s="0" t="n">
        <v>5</v>
      </c>
      <c r="K24" s="0" t="n">
        <f aca="false">(F24/B24)*100</f>
        <v>14</v>
      </c>
    </row>
    <row r="25" customFormat="false" ht="12.8" hidden="false" customHeight="false" outlineLevel="0" collapsed="false">
      <c r="A25" s="0" t="s">
        <v>45</v>
      </c>
      <c r="B25" s="0" t="n">
        <v>406</v>
      </c>
      <c r="C25" s="0" t="s">
        <v>12</v>
      </c>
      <c r="D25" s="0" t="n">
        <v>406</v>
      </c>
      <c r="E25" s="0" t="s">
        <v>13</v>
      </c>
      <c r="F25" s="0" t="n">
        <v>50</v>
      </c>
      <c r="G25" s="0" t="n">
        <v>0</v>
      </c>
      <c r="I25" s="0" t="n">
        <v>0</v>
      </c>
      <c r="J25" s="0" t="n">
        <v>5</v>
      </c>
      <c r="K25" s="0" t="n">
        <f aca="false">(F25/B25)*100</f>
        <v>12.3152709359606</v>
      </c>
    </row>
    <row r="26" customFormat="false" ht="12.8" hidden="false" customHeight="false" outlineLevel="0" collapsed="false">
      <c r="A26" s="0" t="s">
        <v>46</v>
      </c>
      <c r="B26" s="0" t="n">
        <v>351</v>
      </c>
      <c r="C26" s="0" t="s">
        <v>12</v>
      </c>
      <c r="D26" s="0" t="n">
        <v>351</v>
      </c>
      <c r="E26" s="0" t="s">
        <v>13</v>
      </c>
      <c r="F26" s="0" t="n">
        <v>105</v>
      </c>
      <c r="G26" s="0" t="n">
        <v>0</v>
      </c>
      <c r="I26" s="0" t="n">
        <v>0</v>
      </c>
      <c r="J26" s="0" t="n">
        <v>5</v>
      </c>
      <c r="K26" s="0" t="n">
        <f aca="false">(F26/B26)*100</f>
        <v>29.9145299145299</v>
      </c>
    </row>
    <row r="27" customFormat="false" ht="12.8" hidden="false" customHeight="false" outlineLevel="0" collapsed="false">
      <c r="A27" s="0" t="s">
        <v>47</v>
      </c>
      <c r="B27" s="0" t="n">
        <v>403</v>
      </c>
      <c r="C27" s="0" t="s">
        <v>12</v>
      </c>
      <c r="D27" s="0" t="n">
        <v>403</v>
      </c>
      <c r="E27" s="0" t="s">
        <v>13</v>
      </c>
      <c r="F27" s="0" t="n">
        <v>53</v>
      </c>
      <c r="G27" s="0" t="n">
        <v>0</v>
      </c>
      <c r="I27" s="0" t="n">
        <v>0</v>
      </c>
      <c r="J27" s="0" t="n">
        <v>5</v>
      </c>
      <c r="K27" s="0" t="n">
        <f aca="false">(F27/B27)*100</f>
        <v>13.151364764268</v>
      </c>
    </row>
    <row r="28" customFormat="false" ht="12.8" hidden="false" customHeight="false" outlineLevel="0" collapsed="false">
      <c r="A28" s="0" t="s">
        <v>48</v>
      </c>
      <c r="B28" s="0" t="n">
        <v>393</v>
      </c>
      <c r="C28" s="0" t="s">
        <v>12</v>
      </c>
      <c r="D28" s="0" t="n">
        <v>393</v>
      </c>
      <c r="E28" s="0" t="s">
        <v>13</v>
      </c>
      <c r="F28" s="0" t="n">
        <v>63</v>
      </c>
      <c r="G28" s="0" t="n">
        <v>0</v>
      </c>
      <c r="I28" s="0" t="n">
        <v>0</v>
      </c>
      <c r="J28" s="0" t="n">
        <v>5</v>
      </c>
      <c r="K28" s="0" t="n">
        <f aca="false">(F28/B28)*100</f>
        <v>16.030534351145</v>
      </c>
    </row>
    <row r="29" customFormat="false" ht="12.8" hidden="false" customHeight="false" outlineLevel="0" collapsed="false">
      <c r="A29" s="0" t="s">
        <v>49</v>
      </c>
      <c r="B29" s="0" t="n">
        <v>392</v>
      </c>
      <c r="C29" s="0" t="s">
        <v>12</v>
      </c>
      <c r="D29" s="0" t="n">
        <v>392</v>
      </c>
      <c r="E29" s="0" t="s">
        <v>13</v>
      </c>
      <c r="F29" s="0" t="n">
        <v>64</v>
      </c>
      <c r="G29" s="0" t="n">
        <v>0</v>
      </c>
      <c r="I29" s="0" t="n">
        <v>0</v>
      </c>
      <c r="J29" s="0" t="n">
        <v>5</v>
      </c>
      <c r="K29" s="0" t="n">
        <f aca="false">(F29/B29)*100</f>
        <v>16.3265306122449</v>
      </c>
    </row>
    <row r="30" customFormat="false" ht="12.8" hidden="false" customHeight="false" outlineLevel="0" collapsed="false">
      <c r="A30" s="0" t="s">
        <v>50</v>
      </c>
      <c r="B30" s="0" t="n">
        <v>395</v>
      </c>
      <c r="C30" s="0" t="s">
        <v>12</v>
      </c>
      <c r="D30" s="0" t="n">
        <v>395</v>
      </c>
      <c r="E30" s="0" t="s">
        <v>13</v>
      </c>
      <c r="F30" s="0" t="n">
        <v>61</v>
      </c>
      <c r="G30" s="0" t="n">
        <v>0</v>
      </c>
      <c r="I30" s="0" t="n">
        <v>0</v>
      </c>
      <c r="J30" s="0" t="n">
        <v>5</v>
      </c>
      <c r="K30" s="0" t="n">
        <f aca="false">(F30/B30)*100</f>
        <v>15.4430379746835</v>
      </c>
    </row>
    <row r="31" customFormat="false" ht="12.8" hidden="false" customHeight="false" outlineLevel="0" collapsed="false">
      <c r="A31" s="0" t="s">
        <v>51</v>
      </c>
      <c r="B31" s="0" t="n">
        <v>395</v>
      </c>
      <c r="C31" s="0" t="s">
        <v>12</v>
      </c>
      <c r="D31" s="0" t="n">
        <v>395</v>
      </c>
      <c r="E31" s="0" t="s">
        <v>13</v>
      </c>
      <c r="F31" s="0" t="n">
        <v>61</v>
      </c>
      <c r="G31" s="0" t="n">
        <v>0</v>
      </c>
      <c r="I31" s="0" t="n">
        <v>0</v>
      </c>
      <c r="J31" s="0" t="n">
        <v>5</v>
      </c>
      <c r="K31" s="0" t="n">
        <f aca="false">(F31/B31)*100</f>
        <v>15.4430379746835</v>
      </c>
    </row>
    <row r="32" customFormat="false" ht="12.8" hidden="false" customHeight="false" outlineLevel="0" collapsed="false">
      <c r="A32" s="0" t="s">
        <v>52</v>
      </c>
      <c r="B32" s="0" t="n">
        <v>400</v>
      </c>
      <c r="C32" s="0" t="s">
        <v>12</v>
      </c>
      <c r="D32" s="0" t="n">
        <v>400</v>
      </c>
      <c r="E32" s="0" t="s">
        <v>13</v>
      </c>
      <c r="F32" s="0" t="n">
        <v>56</v>
      </c>
      <c r="G32" s="0" t="n">
        <v>0</v>
      </c>
      <c r="I32" s="0" t="n">
        <v>0</v>
      </c>
      <c r="J32" s="0" t="n">
        <v>5</v>
      </c>
      <c r="K32" s="0" t="n">
        <f aca="false">(F32/B32)*100</f>
        <v>14</v>
      </c>
    </row>
    <row r="33" customFormat="false" ht="12.8" hidden="false" customHeight="false" outlineLevel="0" collapsed="false">
      <c r="A33" s="0" t="s">
        <v>53</v>
      </c>
      <c r="B33" s="0" t="n">
        <v>378</v>
      </c>
      <c r="C33" s="0" t="s">
        <v>12</v>
      </c>
      <c r="D33" s="0" t="n">
        <v>378</v>
      </c>
      <c r="E33" s="0" t="s">
        <v>13</v>
      </c>
      <c r="F33" s="0" t="n">
        <v>78</v>
      </c>
      <c r="G33" s="0" t="n">
        <v>0</v>
      </c>
      <c r="I33" s="0" t="n">
        <v>0</v>
      </c>
      <c r="J33" s="0" t="n">
        <v>5</v>
      </c>
      <c r="K33" s="0" t="n">
        <f aca="false">(F33/B33)*100</f>
        <v>20.6349206349206</v>
      </c>
    </row>
    <row r="34" customFormat="false" ht="12.8" hidden="false" customHeight="false" outlineLevel="0" collapsed="false">
      <c r="A34" s="1" t="s">
        <v>54</v>
      </c>
      <c r="B34" s="1" t="n">
        <v>118</v>
      </c>
      <c r="C34" s="1" t="s">
        <v>12</v>
      </c>
      <c r="D34" s="1" t="n">
        <v>118</v>
      </c>
      <c r="E34" s="1" t="s">
        <v>55</v>
      </c>
      <c r="F34" s="1" t="n">
        <v>260</v>
      </c>
      <c r="G34" s="1" t="n">
        <v>0</v>
      </c>
      <c r="H34" s="1"/>
      <c r="I34" s="1" t="n">
        <v>0</v>
      </c>
      <c r="J34" s="1" t="n">
        <v>5</v>
      </c>
      <c r="K34" s="1" t="n">
        <f aca="false">(F34/B34)*100</f>
        <v>220.338983050847</v>
      </c>
    </row>
    <row r="35" customFormat="false" ht="12.8" hidden="false" customHeight="false" outlineLevel="0" collapsed="false">
      <c r="A35" s="0" t="s">
        <v>56</v>
      </c>
      <c r="B35" s="0" t="n">
        <v>390</v>
      </c>
      <c r="C35" s="0" t="s">
        <v>12</v>
      </c>
      <c r="D35" s="0" t="n">
        <v>390</v>
      </c>
      <c r="E35" s="0" t="s">
        <v>13</v>
      </c>
      <c r="F35" s="0" t="n">
        <v>66</v>
      </c>
      <c r="G35" s="0" t="n">
        <v>0</v>
      </c>
      <c r="I35" s="0" t="n">
        <v>0</v>
      </c>
      <c r="J35" s="0" t="n">
        <v>5</v>
      </c>
      <c r="K35" s="0" t="n">
        <f aca="false">(F35/B35)*100</f>
        <v>16.9230769230769</v>
      </c>
    </row>
    <row r="36" customFormat="false" ht="12.8" hidden="false" customHeight="false" outlineLevel="0" collapsed="false">
      <c r="A36" s="0" t="s">
        <v>57</v>
      </c>
      <c r="B36" s="0" t="n">
        <v>391</v>
      </c>
      <c r="C36" s="0" t="s">
        <v>12</v>
      </c>
      <c r="D36" s="0" t="n">
        <v>391</v>
      </c>
      <c r="E36" s="0" t="s">
        <v>13</v>
      </c>
      <c r="F36" s="0" t="n">
        <v>65</v>
      </c>
      <c r="G36" s="0" t="n">
        <v>0</v>
      </c>
      <c r="I36" s="0" t="n">
        <v>0</v>
      </c>
      <c r="J36" s="0" t="n">
        <v>5</v>
      </c>
      <c r="K36" s="0" t="n">
        <f aca="false">(F36/B36)*100</f>
        <v>16.6240409207161</v>
      </c>
    </row>
    <row r="37" customFormat="false" ht="12.8" hidden="false" customHeight="false" outlineLevel="0" collapsed="false">
      <c r="A37" s="0" t="s">
        <v>58</v>
      </c>
      <c r="B37" s="0" t="n">
        <v>391</v>
      </c>
      <c r="C37" s="0" t="s">
        <v>12</v>
      </c>
      <c r="D37" s="0" t="n">
        <v>391</v>
      </c>
      <c r="E37" s="0" t="s">
        <v>13</v>
      </c>
      <c r="F37" s="0" t="n">
        <v>65</v>
      </c>
      <c r="G37" s="0" t="n">
        <v>0</v>
      </c>
      <c r="I37" s="0" t="n">
        <v>0</v>
      </c>
      <c r="J37" s="0" t="n">
        <v>5</v>
      </c>
      <c r="K37" s="0" t="n">
        <f aca="false">(F37/B37)*100</f>
        <v>16.6240409207161</v>
      </c>
    </row>
    <row r="38" customFormat="false" ht="12.8" hidden="false" customHeight="false" outlineLevel="0" collapsed="false">
      <c r="A38" s="0" t="s">
        <v>59</v>
      </c>
      <c r="B38" s="0" t="n">
        <v>397</v>
      </c>
      <c r="C38" s="0" t="s">
        <v>12</v>
      </c>
      <c r="D38" s="0" t="n">
        <v>397</v>
      </c>
      <c r="E38" s="0" t="s">
        <v>13</v>
      </c>
      <c r="F38" s="0" t="n">
        <v>59</v>
      </c>
      <c r="G38" s="0" t="n">
        <v>0</v>
      </c>
      <c r="I38" s="0" t="n">
        <v>0</v>
      </c>
      <c r="J38" s="0" t="n">
        <v>5</v>
      </c>
      <c r="K38" s="0" t="n">
        <f aca="false">(F38/B38)*100</f>
        <v>14.8614609571788</v>
      </c>
    </row>
    <row r="39" customFormat="false" ht="12.8" hidden="false" customHeight="false" outlineLevel="0" collapsed="false">
      <c r="A39" s="0" t="s">
        <v>60</v>
      </c>
      <c r="B39" s="0" t="n">
        <v>390</v>
      </c>
      <c r="C39" s="0" t="s">
        <v>12</v>
      </c>
      <c r="D39" s="0" t="n">
        <v>390</v>
      </c>
      <c r="E39" s="0" t="s">
        <v>13</v>
      </c>
      <c r="F39" s="0" t="n">
        <v>66</v>
      </c>
      <c r="G39" s="0" t="n">
        <v>0</v>
      </c>
      <c r="I39" s="0" t="n">
        <v>0</v>
      </c>
      <c r="J39" s="0" t="n">
        <v>5</v>
      </c>
      <c r="K39" s="0" t="n">
        <f aca="false">(F39/B39)*100</f>
        <v>16.9230769230769</v>
      </c>
    </row>
    <row r="40" customFormat="false" ht="12.8" hidden="false" customHeight="false" outlineLevel="0" collapsed="false">
      <c r="A40" s="0" t="s">
        <v>61</v>
      </c>
      <c r="B40" s="0" t="n">
        <v>356</v>
      </c>
      <c r="C40" s="0" t="s">
        <v>12</v>
      </c>
      <c r="D40" s="0" t="n">
        <v>356</v>
      </c>
      <c r="E40" s="0" t="s">
        <v>13</v>
      </c>
      <c r="F40" s="0" t="n">
        <v>100</v>
      </c>
      <c r="G40" s="0" t="n">
        <v>0</v>
      </c>
      <c r="I40" s="0" t="n">
        <v>0</v>
      </c>
      <c r="J40" s="0" t="n">
        <v>5</v>
      </c>
      <c r="K40" s="0" t="n">
        <f aca="false">(F40/B40)*100</f>
        <v>28.0898876404494</v>
      </c>
    </row>
    <row r="41" customFormat="false" ht="12.8" hidden="false" customHeight="false" outlineLevel="0" collapsed="false">
      <c r="A41" s="1" t="s">
        <v>62</v>
      </c>
      <c r="B41" s="1" t="n">
        <v>126</v>
      </c>
      <c r="C41" s="1" t="s">
        <v>12</v>
      </c>
      <c r="D41" s="1" t="n">
        <v>126</v>
      </c>
      <c r="E41" s="1" t="s">
        <v>63</v>
      </c>
      <c r="F41" s="1" t="n">
        <v>284</v>
      </c>
      <c r="G41" s="1" t="n">
        <v>0</v>
      </c>
      <c r="H41" s="1"/>
      <c r="I41" s="1" t="n">
        <v>0</v>
      </c>
      <c r="J41" s="1" t="n">
        <v>5</v>
      </c>
      <c r="K41" s="1" t="n">
        <f aca="false">(F41/B41)*100</f>
        <v>225.396825396825</v>
      </c>
    </row>
    <row r="42" customFormat="false" ht="12.8" hidden="false" customHeight="false" outlineLevel="0" collapsed="false">
      <c r="A42" s="0" t="s">
        <v>64</v>
      </c>
      <c r="B42" s="0" t="n">
        <v>406</v>
      </c>
      <c r="C42" s="0" t="s">
        <v>12</v>
      </c>
      <c r="D42" s="0" t="n">
        <v>406</v>
      </c>
      <c r="E42" s="0" t="s">
        <v>13</v>
      </c>
      <c r="F42" s="0" t="n">
        <v>50</v>
      </c>
      <c r="G42" s="0" t="n">
        <v>0</v>
      </c>
      <c r="I42" s="0" t="n">
        <v>0</v>
      </c>
      <c r="J42" s="0" t="n">
        <v>5</v>
      </c>
      <c r="K42" s="0" t="n">
        <f aca="false">(F42/B42)*100</f>
        <v>12.3152709359606</v>
      </c>
    </row>
    <row r="43" customFormat="false" ht="12.8" hidden="false" customHeight="false" outlineLevel="0" collapsed="false">
      <c r="A43" s="0" t="s">
        <v>65</v>
      </c>
      <c r="B43" s="0" t="n">
        <v>402</v>
      </c>
      <c r="C43" s="0" t="s">
        <v>12</v>
      </c>
      <c r="D43" s="0" t="n">
        <v>402</v>
      </c>
      <c r="E43" s="0" t="s">
        <v>13</v>
      </c>
      <c r="F43" s="0" t="n">
        <v>54</v>
      </c>
      <c r="G43" s="0" t="n">
        <v>0</v>
      </c>
      <c r="I43" s="0" t="n">
        <v>0</v>
      </c>
      <c r="J43" s="0" t="n">
        <v>5</v>
      </c>
      <c r="K43" s="0" t="n">
        <f aca="false">(F43/B43)*100</f>
        <v>13.4328358208955</v>
      </c>
    </row>
    <row r="44" customFormat="false" ht="12.8" hidden="false" customHeight="false" outlineLevel="0" collapsed="false">
      <c r="A44" s="1" t="s">
        <v>66</v>
      </c>
      <c r="B44" s="1" t="n">
        <v>307</v>
      </c>
      <c r="C44" s="1" t="s">
        <v>12</v>
      </c>
      <c r="D44" s="1" t="n">
        <v>307</v>
      </c>
      <c r="E44" s="1" t="s">
        <v>13</v>
      </c>
      <c r="F44" s="1" t="n">
        <v>149</v>
      </c>
      <c r="G44" s="1" t="n">
        <v>0</v>
      </c>
      <c r="H44" s="1"/>
      <c r="I44" s="1" t="n">
        <v>0</v>
      </c>
      <c r="J44" s="1" t="n">
        <v>5</v>
      </c>
      <c r="K44" s="1" t="n">
        <f aca="false">(F44/B44)*100</f>
        <v>48.5342019543974</v>
      </c>
    </row>
    <row r="45" customFormat="false" ht="12.8" hidden="false" customHeight="false" outlineLevel="0" collapsed="false">
      <c r="A45" s="0" t="s">
        <v>67</v>
      </c>
      <c r="B45" s="0" t="n">
        <v>389</v>
      </c>
      <c r="C45" s="0" t="s">
        <v>12</v>
      </c>
      <c r="D45" s="0" t="n">
        <v>389</v>
      </c>
      <c r="E45" s="0" t="s">
        <v>13</v>
      </c>
      <c r="F45" s="0" t="n">
        <v>67</v>
      </c>
      <c r="G45" s="0" t="n">
        <v>0</v>
      </c>
      <c r="I45" s="0" t="n">
        <v>0</v>
      </c>
      <c r="J45" s="0" t="n">
        <v>5</v>
      </c>
      <c r="K45" s="0" t="n">
        <f aca="false">(F45/B45)*100</f>
        <v>17.2236503856041</v>
      </c>
    </row>
    <row r="46" customFormat="false" ht="12.8" hidden="false" customHeight="false" outlineLevel="0" collapsed="false">
      <c r="A46" s="0" t="s">
        <v>68</v>
      </c>
      <c r="B46" s="0" t="n">
        <v>389</v>
      </c>
      <c r="C46" s="0" t="s">
        <v>12</v>
      </c>
      <c r="D46" s="0" t="n">
        <v>389</v>
      </c>
      <c r="E46" s="0" t="s">
        <v>69</v>
      </c>
      <c r="F46" s="0" t="n">
        <v>59</v>
      </c>
      <c r="G46" s="0" t="n">
        <v>0</v>
      </c>
      <c r="I46" s="0" t="n">
        <v>0</v>
      </c>
      <c r="J46" s="0" t="n">
        <v>5</v>
      </c>
      <c r="K46" s="0" t="n">
        <f aca="false">(F46/B46)*100</f>
        <v>15.1670951156812</v>
      </c>
    </row>
    <row r="47" customFormat="false" ht="12.8" hidden="false" customHeight="false" outlineLevel="0" collapsed="false">
      <c r="A47" s="0" t="s">
        <v>70</v>
      </c>
      <c r="B47" s="0" t="n">
        <v>405</v>
      </c>
      <c r="C47" s="0" t="s">
        <v>12</v>
      </c>
      <c r="D47" s="0" t="n">
        <v>405</v>
      </c>
      <c r="E47" s="0" t="s">
        <v>13</v>
      </c>
      <c r="F47" s="0" t="n">
        <v>51</v>
      </c>
      <c r="G47" s="0" t="n">
        <v>0</v>
      </c>
      <c r="I47" s="0" t="n">
        <v>0</v>
      </c>
      <c r="J47" s="0" t="n">
        <v>5</v>
      </c>
      <c r="K47" s="0" t="n">
        <f aca="false">(F47/B47)*100</f>
        <v>12.5925925925926</v>
      </c>
    </row>
    <row r="48" customFormat="false" ht="12.8" hidden="false" customHeight="false" outlineLevel="0" collapsed="false">
      <c r="A48" s="0" t="s">
        <v>71</v>
      </c>
      <c r="B48" s="0" t="n">
        <v>374</v>
      </c>
      <c r="C48" s="0" t="s">
        <v>12</v>
      </c>
      <c r="D48" s="0" t="n">
        <v>374</v>
      </c>
      <c r="E48" s="0" t="s">
        <v>13</v>
      </c>
      <c r="F48" s="0" t="n">
        <v>82</v>
      </c>
      <c r="G48" s="0" t="n">
        <v>0</v>
      </c>
      <c r="I48" s="0" t="n">
        <v>0</v>
      </c>
      <c r="J48" s="0" t="n">
        <v>5</v>
      </c>
      <c r="K48" s="0" t="n">
        <f aca="false">(F48/B48)*100</f>
        <v>21.9251336898396</v>
      </c>
    </row>
    <row r="49" customFormat="false" ht="12.8" hidden="false" customHeight="false" outlineLevel="0" collapsed="false">
      <c r="A49" s="1" t="s">
        <v>72</v>
      </c>
      <c r="B49" s="1" t="n">
        <v>302</v>
      </c>
      <c r="C49" s="1" t="s">
        <v>12</v>
      </c>
      <c r="D49" s="1" t="n">
        <v>302</v>
      </c>
      <c r="E49" s="1" t="s">
        <v>13</v>
      </c>
      <c r="F49" s="1" t="n">
        <v>154</v>
      </c>
      <c r="G49" s="1" t="n">
        <v>0</v>
      </c>
      <c r="H49" s="1"/>
      <c r="I49" s="1" t="n">
        <v>0</v>
      </c>
      <c r="J49" s="1" t="n">
        <v>5</v>
      </c>
      <c r="K49" s="1" t="n">
        <f aca="false">(F49/B49)*100</f>
        <v>50.9933774834437</v>
      </c>
    </row>
    <row r="50" customFormat="false" ht="12.8" hidden="false" customHeight="false" outlineLevel="0" collapsed="false">
      <c r="A50" s="0" t="s">
        <v>73</v>
      </c>
      <c r="B50" s="0" t="n">
        <v>326</v>
      </c>
      <c r="C50" s="0" t="s">
        <v>12</v>
      </c>
      <c r="D50" s="0" t="n">
        <v>326</v>
      </c>
      <c r="E50" s="0" t="s">
        <v>74</v>
      </c>
      <c r="F50" s="0" t="n">
        <v>89</v>
      </c>
      <c r="G50" s="0" t="n">
        <v>0</v>
      </c>
      <c r="I50" s="0" t="n">
        <v>0</v>
      </c>
      <c r="J50" s="0" t="n">
        <v>5</v>
      </c>
      <c r="K50" s="0" t="n">
        <f aca="false">(F50/B50)*100</f>
        <v>27.3006134969325</v>
      </c>
    </row>
    <row r="51" customFormat="false" ht="12.8" hidden="false" customHeight="false" outlineLevel="0" collapsed="false">
      <c r="A51" s="0" t="s">
        <v>75</v>
      </c>
      <c r="B51" s="0" t="n">
        <v>391</v>
      </c>
      <c r="C51" s="0" t="s">
        <v>12</v>
      </c>
      <c r="D51" s="0" t="n">
        <v>391</v>
      </c>
      <c r="E51" s="0" t="s">
        <v>13</v>
      </c>
      <c r="F51" s="0" t="n">
        <v>65</v>
      </c>
      <c r="G51" s="0" t="n">
        <v>0</v>
      </c>
      <c r="I51" s="0" t="n">
        <v>0</v>
      </c>
      <c r="J51" s="0" t="n">
        <v>5</v>
      </c>
      <c r="K51" s="0" t="n">
        <f aca="false">(F51/B51)*100</f>
        <v>16.6240409207161</v>
      </c>
    </row>
    <row r="52" customFormat="false" ht="12.8" hidden="false" customHeight="false" outlineLevel="0" collapsed="false">
      <c r="A52" s="0" t="s">
        <v>76</v>
      </c>
      <c r="B52" s="0" t="n">
        <v>391</v>
      </c>
      <c r="C52" s="0" t="s">
        <v>12</v>
      </c>
      <c r="D52" s="0" t="n">
        <v>391</v>
      </c>
      <c r="E52" s="0" t="s">
        <v>13</v>
      </c>
      <c r="F52" s="0" t="n">
        <v>65</v>
      </c>
      <c r="G52" s="0" t="n">
        <v>0</v>
      </c>
      <c r="I52" s="0" t="n">
        <v>0</v>
      </c>
      <c r="J52" s="0" t="n">
        <v>5</v>
      </c>
      <c r="K52" s="0" t="n">
        <f aca="false">(F52/B52)*100</f>
        <v>16.6240409207161</v>
      </c>
    </row>
    <row r="53" customFormat="false" ht="12.8" hidden="false" customHeight="false" outlineLevel="0" collapsed="false">
      <c r="A53" s="0" t="s">
        <v>77</v>
      </c>
      <c r="B53" s="0" t="n">
        <v>412</v>
      </c>
      <c r="C53" s="0" t="s">
        <v>12</v>
      </c>
      <c r="D53" s="0" t="n">
        <v>412</v>
      </c>
      <c r="E53" s="0" t="s">
        <v>13</v>
      </c>
      <c r="F53" s="0" t="n">
        <v>44</v>
      </c>
      <c r="G53" s="0" t="n">
        <v>0</v>
      </c>
      <c r="I53" s="0" t="n">
        <v>0</v>
      </c>
      <c r="J53" s="0" t="n">
        <v>5</v>
      </c>
      <c r="K53" s="0" t="n">
        <f aca="false">(F53/B53)*100</f>
        <v>10.6796116504854</v>
      </c>
    </row>
    <row r="54" customFormat="false" ht="12.8" hidden="false" customHeight="false" outlineLevel="0" collapsed="false">
      <c r="A54" s="0" t="s">
        <v>78</v>
      </c>
      <c r="B54" s="0" t="n">
        <v>381</v>
      </c>
      <c r="C54" s="0" t="s">
        <v>12</v>
      </c>
      <c r="D54" s="0" t="n">
        <v>381</v>
      </c>
      <c r="E54" s="0" t="s">
        <v>13</v>
      </c>
      <c r="F54" s="0" t="n">
        <v>75</v>
      </c>
      <c r="G54" s="0" t="n">
        <v>0</v>
      </c>
      <c r="I54" s="0" t="n">
        <v>0</v>
      </c>
      <c r="J54" s="0" t="n">
        <v>5</v>
      </c>
      <c r="K54" s="0" t="n">
        <f aca="false">(F54/B54)*100</f>
        <v>19.6850393700787</v>
      </c>
    </row>
    <row r="55" customFormat="false" ht="12.8" hidden="false" customHeight="false" outlineLevel="0" collapsed="false">
      <c r="A55" s="0" t="s">
        <v>79</v>
      </c>
      <c r="B55" s="0" t="n">
        <v>369</v>
      </c>
      <c r="C55" s="0" t="s">
        <v>12</v>
      </c>
      <c r="D55" s="0" t="n">
        <v>369</v>
      </c>
      <c r="E55" s="0" t="s">
        <v>13</v>
      </c>
      <c r="F55" s="0" t="n">
        <v>87</v>
      </c>
      <c r="G55" s="0" t="n">
        <v>0</v>
      </c>
      <c r="I55" s="0" t="n">
        <v>0</v>
      </c>
      <c r="J55" s="0" t="n">
        <v>5</v>
      </c>
      <c r="K55" s="0" t="n">
        <f aca="false">(F55/B55)*100</f>
        <v>23.5772357723577</v>
      </c>
    </row>
    <row r="56" customFormat="false" ht="12.8" hidden="false" customHeight="false" outlineLevel="0" collapsed="false">
      <c r="A56" s="0" t="s">
        <v>80</v>
      </c>
      <c r="B56" s="0" t="n">
        <v>367</v>
      </c>
      <c r="C56" s="0" t="s">
        <v>12</v>
      </c>
      <c r="D56" s="0" t="n">
        <v>367</v>
      </c>
      <c r="E56" s="0" t="s">
        <v>81</v>
      </c>
      <c r="F56" s="0" t="n">
        <v>52</v>
      </c>
      <c r="G56" s="0" t="n">
        <v>0</v>
      </c>
      <c r="I56" s="0" t="n">
        <v>0</v>
      </c>
      <c r="J56" s="0" t="n">
        <v>5</v>
      </c>
      <c r="K56" s="0" t="n">
        <f aca="false">(F56/B56)*100</f>
        <v>14.1689373297003</v>
      </c>
    </row>
    <row r="57" customFormat="false" ht="12.8" hidden="false" customHeight="false" outlineLevel="0" collapsed="false">
      <c r="A57" s="1" t="s">
        <v>82</v>
      </c>
      <c r="B57" s="1" t="n">
        <v>310</v>
      </c>
      <c r="C57" s="1" t="s">
        <v>12</v>
      </c>
      <c r="D57" s="1" t="n">
        <v>310</v>
      </c>
      <c r="E57" s="1" t="s">
        <v>13</v>
      </c>
      <c r="F57" s="1" t="n">
        <v>146</v>
      </c>
      <c r="G57" s="1" t="n">
        <v>0</v>
      </c>
      <c r="H57" s="1"/>
      <c r="I57" s="1" t="n">
        <v>0</v>
      </c>
      <c r="J57" s="1" t="n">
        <v>5</v>
      </c>
      <c r="K57" s="1" t="n">
        <f aca="false">(F57/B57)*100</f>
        <v>47.0967741935484</v>
      </c>
    </row>
    <row r="58" customFormat="false" ht="12.8" hidden="false" customHeight="false" outlineLevel="0" collapsed="false">
      <c r="A58" s="1" t="s">
        <v>83</v>
      </c>
      <c r="B58" s="1" t="n">
        <v>114</v>
      </c>
      <c r="C58" s="1" t="s">
        <v>12</v>
      </c>
      <c r="D58" s="1" t="n">
        <v>114</v>
      </c>
      <c r="E58" s="1" t="s">
        <v>13</v>
      </c>
      <c r="F58" s="1" t="n">
        <v>342</v>
      </c>
      <c r="G58" s="1" t="n">
        <v>0</v>
      </c>
      <c r="H58" s="1"/>
      <c r="I58" s="1" t="n">
        <v>0</v>
      </c>
      <c r="J58" s="1" t="n">
        <v>5</v>
      </c>
      <c r="K58" s="1" t="n">
        <f aca="false">(F58/B58)*100</f>
        <v>300</v>
      </c>
    </row>
    <row r="59" customFormat="false" ht="12.8" hidden="false" customHeight="false" outlineLevel="0" collapsed="false">
      <c r="A59" s="0" t="s">
        <v>84</v>
      </c>
      <c r="B59" s="0" t="n">
        <v>102</v>
      </c>
      <c r="C59" s="0" t="s">
        <v>12</v>
      </c>
      <c r="D59" s="0" t="n">
        <v>102</v>
      </c>
      <c r="E59" s="0" t="s">
        <v>85</v>
      </c>
      <c r="F59" s="0" t="n">
        <v>18</v>
      </c>
      <c r="G59" s="0" t="n">
        <v>0</v>
      </c>
      <c r="I59" s="0" t="n">
        <v>0</v>
      </c>
      <c r="J59" s="0" t="n">
        <v>5</v>
      </c>
      <c r="K59" s="0" t="n">
        <f aca="false">(F59/B59)*100</f>
        <v>17.6470588235294</v>
      </c>
    </row>
    <row r="60" customFormat="false" ht="12.8" hidden="false" customHeight="false" outlineLevel="0" collapsed="false">
      <c r="A60" s="1" t="s">
        <v>86</v>
      </c>
      <c r="B60" s="1" t="n">
        <v>170</v>
      </c>
      <c r="C60" s="1" t="s">
        <v>12</v>
      </c>
      <c r="D60" s="1" t="n">
        <v>170</v>
      </c>
      <c r="E60" s="1" t="s">
        <v>13</v>
      </c>
      <c r="F60" s="1" t="n">
        <v>286</v>
      </c>
      <c r="G60" s="1" t="n">
        <v>0</v>
      </c>
      <c r="H60" s="1"/>
      <c r="I60" s="1" t="n">
        <v>0</v>
      </c>
      <c r="J60" s="1" t="n">
        <v>5</v>
      </c>
      <c r="K60" s="1" t="n">
        <f aca="false">(F60/B60)*100</f>
        <v>168.235294117647</v>
      </c>
    </row>
    <row r="61" customFormat="false" ht="12.8" hidden="false" customHeight="false" outlineLevel="0" collapsed="false">
      <c r="A61" s="1" t="s">
        <v>87</v>
      </c>
      <c r="B61" s="1" t="n">
        <v>167</v>
      </c>
      <c r="C61" s="1" t="s">
        <v>12</v>
      </c>
      <c r="D61" s="1" t="n">
        <v>167</v>
      </c>
      <c r="E61" s="1" t="s">
        <v>13</v>
      </c>
      <c r="F61" s="1" t="n">
        <v>289</v>
      </c>
      <c r="G61" s="1" t="n">
        <v>0</v>
      </c>
      <c r="H61" s="1"/>
      <c r="I61" s="1" t="n">
        <v>0</v>
      </c>
      <c r="J61" s="1" t="n">
        <v>5</v>
      </c>
      <c r="K61" s="1" t="n">
        <f aca="false">(F61/B61)*100</f>
        <v>173.053892215569</v>
      </c>
    </row>
    <row r="62" customFormat="false" ht="12.8" hidden="false" customHeight="false" outlineLevel="0" collapsed="false">
      <c r="A62" s="1" t="s">
        <v>88</v>
      </c>
      <c r="B62" s="1" t="n">
        <v>167</v>
      </c>
      <c r="C62" s="1" t="s">
        <v>12</v>
      </c>
      <c r="D62" s="1" t="n">
        <v>167</v>
      </c>
      <c r="E62" s="1" t="s">
        <v>13</v>
      </c>
      <c r="F62" s="1" t="n">
        <v>289</v>
      </c>
      <c r="G62" s="1" t="n">
        <v>0</v>
      </c>
      <c r="H62" s="1"/>
      <c r="I62" s="1" t="n">
        <v>0</v>
      </c>
      <c r="J62" s="1" t="n">
        <v>5</v>
      </c>
      <c r="K62" s="1" t="n">
        <f aca="false">(F62/B62)*100</f>
        <v>173.053892215569</v>
      </c>
    </row>
    <row r="63" customFormat="false" ht="12.8" hidden="false" customHeight="false" outlineLevel="0" collapsed="false">
      <c r="A63" s="1" t="s">
        <v>89</v>
      </c>
      <c r="B63" s="1" t="n">
        <v>187</v>
      </c>
      <c r="C63" s="1" t="s">
        <v>12</v>
      </c>
      <c r="D63" s="1" t="n">
        <v>187</v>
      </c>
      <c r="E63" s="1" t="s">
        <v>13</v>
      </c>
      <c r="F63" s="1" t="n">
        <v>269</v>
      </c>
      <c r="G63" s="1" t="n">
        <v>0</v>
      </c>
      <c r="H63" s="1"/>
      <c r="I63" s="1" t="n">
        <v>0</v>
      </c>
      <c r="J63" s="1" t="n">
        <v>5</v>
      </c>
      <c r="K63" s="1" t="n">
        <f aca="false">(F63/B63)*100</f>
        <v>143.850267379679</v>
      </c>
    </row>
    <row r="64" customFormat="false" ht="12.8" hidden="false" customHeight="false" outlineLevel="0" collapsed="false">
      <c r="A64" s="1" t="s">
        <v>90</v>
      </c>
      <c r="B64" s="1" t="n">
        <v>187</v>
      </c>
      <c r="C64" s="1" t="s">
        <v>12</v>
      </c>
      <c r="D64" s="1" t="n">
        <v>187</v>
      </c>
      <c r="E64" s="1" t="s">
        <v>13</v>
      </c>
      <c r="F64" s="1" t="n">
        <v>269</v>
      </c>
      <c r="G64" s="1" t="n">
        <v>0</v>
      </c>
      <c r="H64" s="1"/>
      <c r="I64" s="1" t="n">
        <v>0</v>
      </c>
      <c r="J64" s="1" t="n">
        <v>5</v>
      </c>
      <c r="K64" s="1" t="n">
        <f aca="false">(F64/B64)*100</f>
        <v>143.850267379679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2025-11-15T18:49:54Z</dcterms:modified>
  <cp:revision>1</cp:revision>
  <dc:subject/>
  <dc:title/>
</cp:coreProperties>
</file>